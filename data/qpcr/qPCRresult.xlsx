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605"/>
  </bookViews>
  <sheets>
    <sheet name="4.2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<sst xmlns="http://schemas.openxmlformats.org/spreadsheetml/2006/main" count="72" uniqueCount="23">
  <si>
    <t>大麦</t>
  </si>
  <si>
    <t>ck</t>
  </si>
  <si>
    <t>SALT</t>
  </si>
  <si>
    <t>大麦内参</t>
  </si>
  <si>
    <t>小麦内参</t>
  </si>
  <si>
    <t>HvXB3</t>
  </si>
  <si>
    <t>HvSTI1</t>
  </si>
  <si>
    <t>HvUbiA</t>
  </si>
  <si>
    <t>HvCaM1</t>
  </si>
  <si>
    <t>TaSTI1-B</t>
  </si>
  <si>
    <t>TaDNAJ-A</t>
  </si>
  <si>
    <t>TaDDX-A</t>
  </si>
  <si>
    <t>TaVPS9-B</t>
  </si>
  <si>
    <t>TaSTK-B</t>
  </si>
  <si>
    <t>TaRPL32-D</t>
  </si>
  <si>
    <t>内参</t>
  </si>
  <si>
    <t>salt</t>
  </si>
  <si>
    <t>平均值</t>
  </si>
  <si>
    <t>目的基因</t>
  </si>
  <si>
    <r>
      <rPr>
        <sz val="11"/>
        <color theme="1"/>
        <rFont val="微软雅黑"/>
        <charset val="134"/>
      </rPr>
      <t>∆</t>
    </r>
    <r>
      <rPr>
        <sz val="11"/>
        <color theme="1"/>
        <rFont val="宋体"/>
        <charset val="134"/>
        <scheme val="minor"/>
      </rPr>
      <t>CT</t>
    </r>
  </si>
  <si>
    <r>
      <rPr>
        <sz val="11"/>
        <color theme="1"/>
        <rFont val="宋体"/>
        <charset val="134"/>
        <scheme val="minor"/>
      </rPr>
      <t>∆</t>
    </r>
    <r>
      <rPr>
        <sz val="11"/>
        <color theme="1"/>
        <rFont val="微软雅黑"/>
        <charset val="134"/>
      </rPr>
      <t>∆</t>
    </r>
    <r>
      <rPr>
        <sz val="11"/>
        <color theme="1"/>
        <rFont val="宋体"/>
        <charset val="134"/>
        <scheme val="minor"/>
      </rPr>
      <t>CT</t>
    </r>
  </si>
  <si>
    <t>—∆∆CT</t>
  </si>
  <si>
    <t>相对表达量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</si>
</sst>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64"/>
  <sheetViews>
    <sheetView tabSelected="1" zoomScale="70" zoomScaleNormal="70" workbookViewId="0">
      <selection activeCell="U64" sqref="U61:Z64"/>
    </sheetView>
  </sheetViews>
  <sheetFormatPr defaultColWidth="8.72972972972973" defaultRowHeight="14.1"/>
  <cols>
    <col min="3" max="3" width="12.8918918918919"/>
    <col min="4" max="5" width="12.8108108108108"/>
    <col min="17" max="17" width="26.3333333333333" customWidth="1"/>
    <col min="18" max="20" width="14"/>
    <col min="21" max="21" width="14.1081081081081"/>
    <col min="22" max="22" width="13.9369369369369"/>
    <col min="23" max="23" width="12.8108108108108"/>
    <col min="24" max="24" width="13.9369369369369"/>
    <col min="25" max="25" width="12.7837837837838"/>
    <col min="26" max="28" width="14"/>
    <col min="30" max="30" width="13.9369369369369"/>
    <col min="31" max="32" width="12.8108108108108"/>
    <col min="34" max="36" width="14"/>
  </cols>
  <sheetData>
    <row r="1" spans="1:32">
      <c r="Q1" t="s">
        <v>0</v>
      </c>
      <c r="R1" t="s">
        <v>1</v>
      </c>
      <c r="S1" t="s">
        <v>2</v>
      </c>
      <c r="U1" t="s">
        <v>1</v>
      </c>
      <c r="V1" t="s">
        <v>2</v>
      </c>
      <c r="X1" t="s">
        <v>1</v>
      </c>
      <c r="Y1" t="s">
        <v>2</v>
      </c>
      <c r="AA1" t="s">
        <v>1</v>
      </c>
      <c r="AB1" t="s">
        <v>2</v>
      </c>
    </row>
    <row r="2" spans="1:32">
      <c r="C2" t="s">
        <v>3</v>
      </c>
      <c r="D2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Q2" s="2" t="s">
        <v>15</v>
      </c>
      <c r="R2" s="3">
        <v>25.6</v>
      </c>
      <c r="S2" s="3">
        <v>21.06</v>
      </c>
      <c r="T2" s="4"/>
      <c r="U2" s="3">
        <v>25.6</v>
      </c>
      <c r="V2" s="3">
        <v>21.06</v>
      </c>
      <c r="X2" s="3">
        <v>25.6</v>
      </c>
      <c r="Y2" s="3">
        <v>21.06</v>
      </c>
      <c r="AA2" s="3">
        <v>25.6</v>
      </c>
      <c r="AB2" s="3">
        <v>21.06</v>
      </c>
    </row>
    <row r="3" spans="1:32">
      <c r="A3" s="2" t="s">
        <v>1</v>
      </c>
      <c r="B3">
        <v>1</v>
      </c>
      <c r="C3" s="3">
        <v>25.6</v>
      </c>
      <c r="D3" s="3">
        <v>21.64</v>
      </c>
      <c r="E3" s="3">
        <v>25.27</v>
      </c>
      <c r="F3" s="3">
        <v>26.64</v>
      </c>
      <c r="G3" s="3">
        <v>27.51</v>
      </c>
      <c r="H3" s="3">
        <v>26.96</v>
      </c>
      <c r="I3" s="3">
        <v>25.77</v>
      </c>
      <c r="J3" s="3">
        <v>25.12</v>
      </c>
      <c r="K3" s="3">
        <v>25.89</v>
      </c>
      <c r="L3" s="3">
        <v>26.2</v>
      </c>
      <c r="M3" s="3">
        <v>26.93</v>
      </c>
      <c r="N3" s="3">
        <v>23.12</v>
      </c>
      <c r="O3" s="3"/>
      <c r="P3" s="3"/>
      <c r="Q3" s="2"/>
      <c r="R3" s="3">
        <v>25.5</v>
      </c>
      <c r="S3" s="3">
        <v>20.96</v>
      </c>
      <c r="T3" s="4"/>
      <c r="U3" s="3">
        <v>25.5</v>
      </c>
      <c r="V3" s="3">
        <v>20.96</v>
      </c>
      <c r="X3" s="3">
        <v>25.5</v>
      </c>
      <c r="Y3" s="3">
        <v>20.96</v>
      </c>
      <c r="AA3" s="3">
        <v>25.5</v>
      </c>
      <c r="AB3" s="3">
        <v>20.96</v>
      </c>
    </row>
    <row r="4" spans="1:32">
      <c r="A4" s="2"/>
      <c r="B4">
        <v>2</v>
      </c>
      <c r="C4" s="3">
        <v>25.5</v>
      </c>
      <c r="D4" s="3">
        <v>21.76</v>
      </c>
      <c r="E4" s="3">
        <v>24.85</v>
      </c>
      <c r="F4" s="3">
        <v>26.02</v>
      </c>
      <c r="G4" s="3">
        <v>27.86</v>
      </c>
      <c r="H4" s="3">
        <v>26.59</v>
      </c>
      <c r="I4" s="3">
        <v>25.71</v>
      </c>
      <c r="J4" s="3">
        <v>25.2</v>
      </c>
      <c r="K4" s="3">
        <v>25.87</v>
      </c>
      <c r="L4" s="3">
        <v>25.89</v>
      </c>
      <c r="M4" s="3">
        <v>26.87</v>
      </c>
      <c r="N4" s="3">
        <v>23.17</v>
      </c>
      <c r="O4" s="3"/>
      <c r="P4" s="3"/>
      <c r="Q4" s="2"/>
      <c r="R4" s="3">
        <v>25.76</v>
      </c>
      <c r="S4" s="3">
        <v>21.74</v>
      </c>
      <c r="T4" s="4"/>
      <c r="U4" s="3">
        <v>25.76</v>
      </c>
      <c r="V4" s="3">
        <v>21.74</v>
      </c>
      <c r="X4" s="3">
        <v>25.76</v>
      </c>
      <c r="Y4" s="3">
        <v>21.74</v>
      </c>
      <c r="AA4" s="3">
        <v>25.76</v>
      </c>
      <c r="AB4" s="3">
        <v>21.74</v>
      </c>
    </row>
    <row r="5" spans="1:32">
      <c r="A5" s="2"/>
      <c r="B5">
        <v>3</v>
      </c>
      <c r="C5" s="3">
        <v>25.76</v>
      </c>
      <c r="D5" s="3">
        <v>21.57</v>
      </c>
      <c r="E5" s="3">
        <v>25.53</v>
      </c>
      <c r="F5" s="3">
        <v>26.35</v>
      </c>
      <c r="G5" s="3">
        <v>28.16</v>
      </c>
      <c r="H5" s="3">
        <v>27.49</v>
      </c>
      <c r="I5" s="3">
        <v>25.86</v>
      </c>
      <c r="J5" s="3">
        <v>25.25</v>
      </c>
      <c r="K5" s="3">
        <v>25.6</v>
      </c>
      <c r="L5" s="3">
        <v>26</v>
      </c>
      <c r="M5" s="3">
        <v>26.95</v>
      </c>
      <c r="N5" s="3">
        <v>23.14</v>
      </c>
      <c r="O5" s="3"/>
      <c r="P5" s="3"/>
      <c r="Q5" s="2"/>
      <c r="R5" s="4"/>
      <c r="S5" s="4"/>
      <c r="T5" s="4"/>
    </row>
    <row r="6" spans="1:32">
      <c r="A6" s="2" t="s">
        <v>16</v>
      </c>
      <c r="B6">
        <v>1</v>
      </c>
      <c r="C6" s="3">
        <v>21.06</v>
      </c>
      <c r="D6" s="3">
        <v>22</v>
      </c>
      <c r="E6" s="3">
        <v>25.4</v>
      </c>
      <c r="F6" s="3">
        <v>25.53</v>
      </c>
      <c r="G6" s="3">
        <v>28.12</v>
      </c>
      <c r="H6" s="3">
        <v>26.94</v>
      </c>
      <c r="I6" s="3">
        <v>26.62</v>
      </c>
      <c r="J6" s="3">
        <v>26.66</v>
      </c>
      <c r="K6" s="3">
        <v>26.76</v>
      </c>
      <c r="L6" s="3">
        <v>27.88</v>
      </c>
      <c r="M6" s="3">
        <v>27.85</v>
      </c>
      <c r="N6" s="3">
        <v>23.81</v>
      </c>
      <c r="O6" s="3"/>
      <c r="P6" s="3"/>
      <c r="Q6" t="s">
        <v>17</v>
      </c>
      <c r="R6" s="2" t="s">
        <v>5</v>
      </c>
      <c r="S6" s="2"/>
      <c r="U6" s="2" t="s">
        <v>6</v>
      </c>
      <c r="V6" s="2"/>
      <c r="X6" s="2" t="s">
        <v>7</v>
      </c>
      <c r="Y6" s="2"/>
      <c r="AA6" s="2" t="s">
        <v>8</v>
      </c>
      <c r="AB6" s="2"/>
    </row>
    <row r="7" spans="1:32">
      <c r="A7" s="2"/>
      <c r="B7">
        <v>2</v>
      </c>
      <c r="C7" s="3">
        <v>20.96</v>
      </c>
      <c r="D7" s="3">
        <v>21.46</v>
      </c>
      <c r="E7" s="3">
        <v>25.65</v>
      </c>
      <c r="F7" s="3">
        <v>26.8</v>
      </c>
      <c r="G7" s="3">
        <v>28.57</v>
      </c>
      <c r="H7" s="3">
        <v>27.79</v>
      </c>
      <c r="I7" s="3">
        <v>26.45</v>
      </c>
      <c r="J7" s="3">
        <v>26.09</v>
      </c>
      <c r="K7" s="3">
        <v>26.8</v>
      </c>
      <c r="L7" s="3">
        <v>27.59</v>
      </c>
      <c r="M7" s="3">
        <v>27.86</v>
      </c>
      <c r="N7" s="3">
        <v>23.73</v>
      </c>
      <c r="O7" s="3"/>
      <c r="P7" s="3"/>
      <c r="Q7" s="2" t="s">
        <v>18</v>
      </c>
      <c r="R7" s="3">
        <v>25.27</v>
      </c>
      <c r="S7" s="3">
        <v>25.4</v>
      </c>
      <c r="T7" s="4"/>
      <c r="U7" s="3">
        <v>26.64</v>
      </c>
      <c r="V7" s="3">
        <v>25.53</v>
      </c>
      <c r="W7" s="4"/>
      <c r="X7" s="3">
        <v>27.51</v>
      </c>
      <c r="Y7" s="3">
        <v>28.12</v>
      </c>
      <c r="Z7" s="4"/>
      <c r="AA7" s="3">
        <v>26.96</v>
      </c>
      <c r="AB7" s="3">
        <v>26.94</v>
      </c>
      <c r="AD7" s="4"/>
      <c r="AE7" s="4"/>
      <c r="AF7" s="4"/>
    </row>
    <row r="8" spans="1:32">
      <c r="A8" s="2"/>
      <c r="B8">
        <v>3</v>
      </c>
      <c r="C8" s="3">
        <v>21.74</v>
      </c>
      <c r="D8" s="3">
        <v>22.05</v>
      </c>
      <c r="E8" s="3">
        <v>25.71</v>
      </c>
      <c r="F8" s="3">
        <v>26.73</v>
      </c>
      <c r="G8" s="3">
        <v>28.52</v>
      </c>
      <c r="H8" s="3">
        <v>28.46</v>
      </c>
      <c r="I8" s="3">
        <v>26.53</v>
      </c>
      <c r="J8" s="3">
        <v>26.47</v>
      </c>
      <c r="K8" s="3">
        <v>26.54</v>
      </c>
      <c r="L8" s="3">
        <v>27.51</v>
      </c>
      <c r="M8" s="3">
        <v>27.84</v>
      </c>
      <c r="N8" s="3">
        <v>23.63</v>
      </c>
      <c r="O8" s="3"/>
      <c r="P8" s="3"/>
      <c r="Q8" s="2"/>
      <c r="R8" s="3">
        <v>24.85</v>
      </c>
      <c r="S8" s="3">
        <v>25.65</v>
      </c>
      <c r="T8" s="4"/>
      <c r="U8" s="3">
        <v>26.02</v>
      </c>
      <c r="V8" s="3">
        <v>26.8</v>
      </c>
      <c r="W8" s="4"/>
      <c r="X8" s="3">
        <v>27.86</v>
      </c>
      <c r="Y8" s="3">
        <v>28.57</v>
      </c>
      <c r="Z8" s="4"/>
      <c r="AA8" s="3">
        <v>26.59</v>
      </c>
      <c r="AB8" s="3">
        <v>27.79</v>
      </c>
      <c r="AD8" s="4"/>
      <c r="AE8" s="4"/>
      <c r="AF8" s="4"/>
    </row>
    <row r="9" spans="1:32">
      <c r="Q9" s="2"/>
      <c r="R9" s="3">
        <v>25.53</v>
      </c>
      <c r="S9" s="3">
        <v>25.71</v>
      </c>
      <c r="T9" s="4"/>
      <c r="U9" s="3">
        <v>26.35</v>
      </c>
      <c r="V9" s="3">
        <v>26.73</v>
      </c>
      <c r="W9" s="4"/>
      <c r="X9" s="3">
        <v>28.16</v>
      </c>
      <c r="Y9" s="3">
        <v>28.52</v>
      </c>
      <c r="Z9" s="4"/>
      <c r="AA9" s="3">
        <v>27.49</v>
      </c>
      <c r="AB9" s="3">
        <v>28.46</v>
      </c>
      <c r="AD9" s="4"/>
      <c r="AE9" s="4"/>
      <c r="AF9" s="4"/>
    </row>
    <row r="10" spans="1:32">
      <c r="Q10" s="2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D10" s="4"/>
      <c r="AE10" s="4"/>
      <c r="AF10" s="4"/>
    </row>
    <row r="11" spans="1:32">
      <c r="Q11" s="5" t="s">
        <v>19</v>
      </c>
      <c r="R11">
        <f>R7-R2</f>
        <v>-0.330000000000002</v>
      </c>
      <c r="S11">
        <f>S7-S2</f>
        <v>4.34</v>
      </c>
      <c r="U11">
        <f>U7-U2</f>
        <v>1.04</v>
      </c>
      <c r="V11">
        <f>V7-V2</f>
        <v>4.47</v>
      </c>
      <c r="X11">
        <f>X7-X2</f>
        <v>1.91</v>
      </c>
      <c r="Y11">
        <f t="shared" ref="X11:AB11" si="0">Y7-V2</f>
        <v>7.06</v>
      </c>
      <c r="AA11">
        <f>AA7-AA2</f>
        <v>1.36</v>
      </c>
      <c r="AB11">
        <f t="shared" si="0"/>
        <v>5.88</v>
      </c>
    </row>
    <row r="12" spans="1:32">
      <c r="Q12" s="5"/>
      <c r="R12">
        <f>R8-R3</f>
        <v>-0.649999999999999</v>
      </c>
      <c r="S12">
        <f>S8-S3</f>
        <v>4.69</v>
      </c>
      <c r="U12">
        <f>U8-U3</f>
        <v>0.52</v>
      </c>
      <c r="V12">
        <f>V8-V3</f>
        <v>5.84</v>
      </c>
      <c r="X12">
        <f>X8-X3</f>
        <v>2.36</v>
      </c>
      <c r="Y12">
        <f t="shared" ref="X12:AB12" si="1">Y8-Y3</f>
        <v>7.61</v>
      </c>
      <c r="AA12">
        <f t="shared" si="1"/>
        <v>1.09</v>
      </c>
      <c r="AB12">
        <f t="shared" si="1"/>
        <v>6.83</v>
      </c>
    </row>
    <row r="13" spans="1:32">
      <c r="Q13" s="5"/>
      <c r="R13">
        <f>R9-R4</f>
        <v>-0.23</v>
      </c>
      <c r="S13">
        <f>S9-S4</f>
        <v>3.97</v>
      </c>
      <c r="U13">
        <f>U9-U4</f>
        <v>0.59</v>
      </c>
      <c r="V13">
        <f>V9-V4</f>
        <v>4.99</v>
      </c>
      <c r="X13">
        <f>X9-X4</f>
        <v>2.4</v>
      </c>
      <c r="Y13">
        <f t="shared" ref="X13:AB13" si="2">Y9-Y4</f>
        <v>6.78</v>
      </c>
      <c r="AA13">
        <f t="shared" si="2"/>
        <v>1.73</v>
      </c>
      <c r="AB13">
        <f t="shared" si="2"/>
        <v>6.72</v>
      </c>
    </row>
    <row r="14" spans="1:32">
      <c r="Q14" s="5"/>
    </row>
    <row r="15" spans="1:32">
      <c r="Q15" t="s">
        <v>17</v>
      </c>
      <c r="R15">
        <f>AVERAGE(R11:R14)</f>
        <v>-0.403333333333334</v>
      </c>
      <c r="U15">
        <f>AVERAGE(U11:U14)</f>
        <v>0.716666666666666</v>
      </c>
      <c r="X15">
        <f>AVERAGE(X11:X14)</f>
        <v>2.22333333333333</v>
      </c>
      <c r="AA15">
        <f>AVERAGE(AA11:AA14)</f>
        <v>1.39333333333333</v>
      </c>
    </row>
    <row r="16" spans="1:32">
      <c r="Q16" s="6" t="s">
        <v>20</v>
      </c>
      <c r="R16">
        <f>R11-$R$15</f>
        <v>0.0733333333333318</v>
      </c>
      <c r="S16">
        <f>S11-$R$15</f>
        <v>4.74333333333333</v>
      </c>
      <c r="U16">
        <f>U11-U15</f>
        <v>0.323333333333333</v>
      </c>
      <c r="V16">
        <f>V11-U15</f>
        <v>3.75333333333334</v>
      </c>
      <c r="X16">
        <f>X11-X15</f>
        <v>-0.313333333333333</v>
      </c>
      <c r="Y16">
        <f>Y11-X15</f>
        <v>4.83666666666667</v>
      </c>
      <c r="AA16">
        <f>AA11-AA15</f>
        <v>-0.0333333333333325</v>
      </c>
      <c r="AB16">
        <f>AB11-AA15</f>
        <v>4.48666666666667</v>
      </c>
    </row>
    <row r="17" spans="4:34">
      <c r="Q17" s="2"/>
      <c r="R17">
        <f t="shared" ref="R17:V17" si="3">R12-$R$15</f>
        <v>-0.246666666666665</v>
      </c>
      <c r="S17">
        <f t="shared" si="3"/>
        <v>5.09333333333333</v>
      </c>
      <c r="U17">
        <f>U12-U15</f>
        <v>-0.196666666666667</v>
      </c>
      <c r="V17">
        <f>V12-U15</f>
        <v>5.12333333333333</v>
      </c>
      <c r="X17">
        <f>X12-X15</f>
        <v>0.136666666666667</v>
      </c>
      <c r="Y17">
        <f>Y12-X15</f>
        <v>5.38666666666667</v>
      </c>
      <c r="AA17">
        <f>AA12-AA15</f>
        <v>-0.303333333333332</v>
      </c>
      <c r="AB17">
        <f>AB12-AA15</f>
        <v>5.43666666666667</v>
      </c>
    </row>
    <row r="18" spans="4:34">
      <c r="Q18" s="2"/>
      <c r="R18">
        <f>R13-$R$15</f>
        <v>0.173333333333333</v>
      </c>
      <c r="S18">
        <f>S13-$R$15</f>
        <v>4.37333333333334</v>
      </c>
      <c r="U18">
        <f>U13-U15</f>
        <v>-0.126666666666666</v>
      </c>
      <c r="V18">
        <f>V13-U15</f>
        <v>4.27333333333334</v>
      </c>
      <c r="X18">
        <f>X13-X15</f>
        <v>0.176666666666666</v>
      </c>
      <c r="Y18">
        <f>Y13-X15</f>
        <v>4.55666666666667</v>
      </c>
      <c r="AA18">
        <f>AA13-AA15</f>
        <v>0.336666666666665</v>
      </c>
      <c r="AB18">
        <f>AB13-AA15</f>
        <v>5.32666666666667</v>
      </c>
    </row>
    <row r="19" spans="4:34">
      <c r="D19" s="1" t="s">
        <v>5</v>
      </c>
      <c r="Q19" s="2"/>
    </row>
    <row r="20" spans="4:34">
      <c r="D20" s="1" t="s">
        <v>6</v>
      </c>
      <c r="Q20" s="6" t="s">
        <v>21</v>
      </c>
      <c r="R20">
        <f t="shared" ref="R20:V20" si="4">-R16</f>
        <v>-0.0733333333333318</v>
      </c>
      <c r="S20">
        <f t="shared" si="4"/>
        <v>-4.74333333333333</v>
      </c>
      <c r="U20">
        <f t="shared" ref="U20:Y20" si="5">-U16</f>
        <v>-0.323333333333333</v>
      </c>
      <c r="V20">
        <f t="shared" si="5"/>
        <v>-3.75333333333334</v>
      </c>
      <c r="X20">
        <f>-X16</f>
        <v>0.313333333333333</v>
      </c>
      <c r="Y20">
        <f t="shared" ref="Y20:Y22" si="6">-Y16</f>
        <v>-4.83666666666667</v>
      </c>
      <c r="AA20">
        <f t="shared" ref="AA20:AA22" si="7">-AA16</f>
        <v>0.0333333333333325</v>
      </c>
      <c r="AB20">
        <f t="shared" ref="AB20:AB22" si="8">-AB16</f>
        <v>-4.48666666666667</v>
      </c>
    </row>
    <row r="21" spans="4:34">
      <c r="D21" s="1" t="s">
        <v>7</v>
      </c>
      <c r="Q21" s="2"/>
      <c r="R21">
        <f t="shared" ref="R21:V21" si="9">-R17</f>
        <v>0.246666666666665</v>
      </c>
      <c r="S21">
        <f t="shared" si="9"/>
        <v>-5.09333333333333</v>
      </c>
      <c r="U21">
        <f t="shared" si="9"/>
        <v>0.196666666666667</v>
      </c>
      <c r="V21">
        <f t="shared" si="9"/>
        <v>-5.12333333333333</v>
      </c>
      <c r="X21">
        <f t="shared" ref="X20:X22" si="10">-X17</f>
        <v>-0.136666666666667</v>
      </c>
      <c r="Y21">
        <f t="shared" si="6"/>
        <v>-5.38666666666667</v>
      </c>
      <c r="AA21">
        <f t="shared" si="7"/>
        <v>0.303333333333332</v>
      </c>
      <c r="AB21">
        <f t="shared" si="8"/>
        <v>-5.43666666666667</v>
      </c>
    </row>
    <row r="22" spans="4:34">
      <c r="D22" s="1" t="s">
        <v>8</v>
      </c>
      <c r="Q22" s="2"/>
      <c r="R22">
        <f t="shared" ref="R22:V22" si="11">-R18</f>
        <v>-0.173333333333333</v>
      </c>
      <c r="S22">
        <f t="shared" si="11"/>
        <v>-4.37333333333334</v>
      </c>
      <c r="U22">
        <f t="shared" si="11"/>
        <v>0.126666666666666</v>
      </c>
      <c r="V22">
        <f t="shared" si="11"/>
        <v>-4.27333333333334</v>
      </c>
      <c r="X22">
        <f t="shared" si="10"/>
        <v>-0.176666666666666</v>
      </c>
      <c r="Y22">
        <f t="shared" si="6"/>
        <v>-4.55666666666667</v>
      </c>
      <c r="AA22">
        <f t="shared" si="7"/>
        <v>-0.336666666666665</v>
      </c>
      <c r="AB22">
        <f t="shared" si="8"/>
        <v>-5.32666666666667</v>
      </c>
    </row>
    <row r="23" spans="4:34">
      <c r="D23" s="1" t="s">
        <v>9</v>
      </c>
      <c r="Q23" s="2"/>
    </row>
    <row r="24" spans="4:34">
      <c r="D24" s="1" t="s">
        <v>10</v>
      </c>
      <c r="Q24" s="2" t="s">
        <v>22</v>
      </c>
      <c r="R24">
        <f t="shared" ref="R24:V24" si="12">POWER(2,R20)</f>
        <v>0.950439477710803</v>
      </c>
      <c r="S24">
        <f t="shared" si="12"/>
        <v>0.0373348479736256</v>
      </c>
      <c r="U24">
        <f t="shared" si="12"/>
        <v>0.799221149722626</v>
      </c>
      <c r="V24">
        <f t="shared" si="12"/>
        <v>0.0741539146817803</v>
      </c>
      <c r="X24">
        <f>POWER(2,X20)</f>
        <v>1.24257534448593</v>
      </c>
      <c r="Y24">
        <f t="shared" ref="Y24:Y26" si="13">POWER(2,Y20)</f>
        <v>0.0349959876264612</v>
      </c>
      <c r="AA24">
        <f t="shared" ref="AA24:AA26" si="14">POWER(2,AA20)</f>
        <v>1.02337389199677</v>
      </c>
      <c r="AB24">
        <f>POWER(2,AB20)</f>
        <v>0.0446045079428394</v>
      </c>
    </row>
    <row r="25" spans="4:34">
      <c r="D25" s="1" t="s">
        <v>11</v>
      </c>
      <c r="Q25" s="2"/>
      <c r="R25">
        <f t="shared" ref="R25:V25" si="15">POWER(2,R21)</f>
        <v>1.18646263490849</v>
      </c>
      <c r="S25">
        <f t="shared" si="15"/>
        <v>0.0292923280174994</v>
      </c>
      <c r="U25">
        <f t="shared" si="15"/>
        <v>1.14604736197</v>
      </c>
      <c r="V25">
        <f t="shared" si="15"/>
        <v>0.0286895006239131</v>
      </c>
      <c r="X25">
        <f t="shared" ref="X24:X26" si="16">POWER(2,X21)</f>
        <v>0.909618393998281</v>
      </c>
      <c r="Y25">
        <f t="shared" si="13"/>
        <v>0.0239029639613124</v>
      </c>
      <c r="AA25">
        <f t="shared" si="14"/>
        <v>1.23399224962407</v>
      </c>
      <c r="AB25">
        <f t="shared" ref="AB24:AB26" si="17">POWER(2,AB21)</f>
        <v>0.023088741259213</v>
      </c>
    </row>
    <row r="26" spans="4:34">
      <c r="D26" s="1" t="s">
        <v>12</v>
      </c>
      <c r="Q26" s="2"/>
      <c r="R26">
        <f>POWER(2,R22)</f>
        <v>0.886791389163191</v>
      </c>
      <c r="S26">
        <f t="shared" ref="R26:V26" si="18">POWER(2,S22)</f>
        <v>0.0482497964601354</v>
      </c>
      <c r="U26">
        <f t="shared" si="18"/>
        <v>1.09176826457064</v>
      </c>
      <c r="V26">
        <f t="shared" si="18"/>
        <v>0.0517128514187507</v>
      </c>
      <c r="X26">
        <f t="shared" si="16"/>
        <v>0.884744831179647</v>
      </c>
      <c r="Y26">
        <f t="shared" si="13"/>
        <v>0.0424919491504015</v>
      </c>
      <c r="AA26">
        <f t="shared" si="14"/>
        <v>0.791868805279721</v>
      </c>
      <c r="AB26">
        <f t="shared" si="17"/>
        <v>0.0249180215122873</v>
      </c>
    </row>
    <row r="27" spans="4:34">
      <c r="D27" s="1" t="s">
        <v>13</v>
      </c>
      <c r="Q27" s="2"/>
    </row>
    <row r="28" spans="4:34">
      <c r="D28" s="1" t="s">
        <v>14</v>
      </c>
    </row>
    <row r="31" spans="4:34">
      <c r="Q31" t="s">
        <v>0</v>
      </c>
      <c r="R31" t="s">
        <v>1</v>
      </c>
      <c r="S31" t="s">
        <v>2</v>
      </c>
      <c r="U31" t="s">
        <v>1</v>
      </c>
      <c r="V31" t="s">
        <v>2</v>
      </c>
      <c r="X31" t="s">
        <v>1</v>
      </c>
      <c r="Y31" t="s">
        <v>2</v>
      </c>
      <c r="AA31" t="s">
        <v>1</v>
      </c>
      <c r="AB31" t="s">
        <v>2</v>
      </c>
      <c r="AD31" t="s">
        <v>1</v>
      </c>
      <c r="AE31" t="s">
        <v>2</v>
      </c>
      <c r="AG31" t="s">
        <v>1</v>
      </c>
      <c r="AH31" t="s">
        <v>2</v>
      </c>
    </row>
    <row r="32" spans="4:34">
      <c r="Q32" s="2" t="s">
        <v>15</v>
      </c>
      <c r="R32" s="3">
        <v>21.64</v>
      </c>
      <c r="S32" s="3">
        <v>22</v>
      </c>
      <c r="T32" s="4"/>
      <c r="U32" s="3">
        <v>21.64</v>
      </c>
      <c r="V32" s="3">
        <v>22</v>
      </c>
      <c r="X32" s="3">
        <v>21.64</v>
      </c>
      <c r="Y32" s="3">
        <v>22</v>
      </c>
      <c r="AA32" s="3">
        <v>21.64</v>
      </c>
      <c r="AB32" s="3">
        <v>22</v>
      </c>
      <c r="AD32" s="3">
        <v>21.64</v>
      </c>
      <c r="AE32" s="3">
        <v>22</v>
      </c>
      <c r="AG32" s="3">
        <v>21.64</v>
      </c>
      <c r="AH32" s="3">
        <v>22</v>
      </c>
    </row>
    <row r="33" spans="17:34">
      <c r="Q33" s="2"/>
      <c r="R33" s="3">
        <v>21.76</v>
      </c>
      <c r="S33" s="3">
        <v>21.46</v>
      </c>
      <c r="T33" s="4"/>
      <c r="U33" s="3">
        <v>21.76</v>
      </c>
      <c r="V33" s="3">
        <v>21.46</v>
      </c>
      <c r="X33" s="3">
        <v>21.76</v>
      </c>
      <c r="Y33" s="3">
        <v>21.46</v>
      </c>
      <c r="AA33" s="3">
        <v>21.76</v>
      </c>
      <c r="AB33" s="3">
        <v>21.46</v>
      </c>
      <c r="AD33" s="3">
        <v>21.76</v>
      </c>
      <c r="AE33" s="3">
        <v>21.46</v>
      </c>
      <c r="AG33" s="3">
        <v>21.76</v>
      </c>
      <c r="AH33" s="3">
        <v>21.46</v>
      </c>
    </row>
    <row r="34" spans="17:34">
      <c r="Q34" s="2"/>
      <c r="R34" s="3">
        <v>21.57</v>
      </c>
      <c r="S34" s="3">
        <v>22.05</v>
      </c>
      <c r="T34" s="4"/>
      <c r="U34" s="3">
        <v>21.57</v>
      </c>
      <c r="V34" s="3">
        <v>22.05</v>
      </c>
      <c r="X34" s="3">
        <v>21.57</v>
      </c>
      <c r="Y34" s="3">
        <v>22.05</v>
      </c>
      <c r="AA34" s="3">
        <v>21.57</v>
      </c>
      <c r="AB34" s="3">
        <v>22.05</v>
      </c>
      <c r="AD34" s="3">
        <v>21.57</v>
      </c>
      <c r="AE34" s="3">
        <v>22.05</v>
      </c>
      <c r="AG34" s="3">
        <v>21.57</v>
      </c>
      <c r="AH34" s="3">
        <v>22.05</v>
      </c>
    </row>
    <row r="35" spans="17:34">
      <c r="Q35" s="2"/>
      <c r="R35" s="4"/>
      <c r="S35" s="4"/>
      <c r="T35" s="4"/>
    </row>
    <row r="36" spans="17:34">
      <c r="Q36" t="s">
        <v>17</v>
      </c>
      <c r="R36" s="2" t="s">
        <v>9</v>
      </c>
      <c r="S36" s="2"/>
      <c r="U36" s="2" t="s">
        <v>10</v>
      </c>
      <c r="V36" s="2"/>
      <c r="X36" s="2" t="s">
        <v>11</v>
      </c>
      <c r="Y36" s="2"/>
      <c r="AA36" s="2" t="s">
        <v>12</v>
      </c>
      <c r="AB36" s="2"/>
      <c r="AD36" s="2" t="s">
        <v>13</v>
      </c>
      <c r="AE36" s="2"/>
      <c r="AG36" s="2" t="s">
        <v>14</v>
      </c>
      <c r="AH36" s="2"/>
    </row>
    <row r="37" spans="17:34">
      <c r="Q37" s="2" t="s">
        <v>18</v>
      </c>
      <c r="R37" s="3">
        <v>25.77</v>
      </c>
      <c r="S37" s="3">
        <v>26.62</v>
      </c>
      <c r="T37" s="4"/>
      <c r="U37" s="3">
        <v>25.12</v>
      </c>
      <c r="V37" s="3">
        <v>26.66</v>
      </c>
      <c r="W37" s="4"/>
      <c r="X37" s="3">
        <v>25.89</v>
      </c>
      <c r="Y37" s="3">
        <v>26.76</v>
      </c>
      <c r="Z37" s="4"/>
      <c r="AA37" s="3">
        <v>26.2</v>
      </c>
      <c r="AB37" s="3">
        <v>27.88</v>
      </c>
      <c r="AD37" s="3">
        <v>26.93</v>
      </c>
      <c r="AE37" s="3">
        <v>27.85</v>
      </c>
      <c r="AG37" s="3">
        <v>23.12</v>
      </c>
      <c r="AH37" s="3">
        <v>23.81</v>
      </c>
    </row>
    <row r="38" spans="17:34">
      <c r="Q38" s="2"/>
      <c r="R38" s="3">
        <v>25.71</v>
      </c>
      <c r="S38" s="3">
        <v>26.45</v>
      </c>
      <c r="T38" s="4"/>
      <c r="U38" s="3">
        <v>25.2</v>
      </c>
      <c r="V38" s="3">
        <v>26.09</v>
      </c>
      <c r="W38" s="4"/>
      <c r="X38" s="3">
        <v>25.87</v>
      </c>
      <c r="Y38" s="3">
        <v>26.8</v>
      </c>
      <c r="Z38" s="4"/>
      <c r="AA38" s="3">
        <v>25.89</v>
      </c>
      <c r="AB38" s="3">
        <v>27.59</v>
      </c>
      <c r="AD38" s="3">
        <v>26.87</v>
      </c>
      <c r="AE38" s="3">
        <v>27.86</v>
      </c>
      <c r="AF38"/>
      <c r="AG38" s="3">
        <v>23.17</v>
      </c>
      <c r="AH38" s="3">
        <v>23.73</v>
      </c>
    </row>
    <row r="39" spans="17:34">
      <c r="Q39" s="2"/>
      <c r="R39" s="3">
        <v>25.86</v>
      </c>
      <c r="S39" s="3">
        <v>26.53</v>
      </c>
      <c r="T39" s="4"/>
      <c r="U39" s="3">
        <v>25.25</v>
      </c>
      <c r="V39" s="3">
        <v>26.47</v>
      </c>
      <c r="W39" s="4"/>
      <c r="X39" s="3">
        <v>25.6</v>
      </c>
      <c r="Y39" s="3">
        <v>26.54</v>
      </c>
      <c r="Z39" s="4"/>
      <c r="AA39" s="3">
        <v>26</v>
      </c>
      <c r="AB39" s="3">
        <v>27.51</v>
      </c>
      <c r="AD39" s="3">
        <v>26.95</v>
      </c>
      <c r="AE39" s="3">
        <v>27.84</v>
      </c>
      <c r="AF39"/>
      <c r="AG39" s="3">
        <v>23.14</v>
      </c>
      <c r="AH39" s="3">
        <v>23.63</v>
      </c>
    </row>
    <row r="40" spans="17:34">
      <c r="Q40" s="2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D40" s="4"/>
      <c r="AE40" s="4"/>
      <c r="AF40"/>
      <c r="AG40" s="4"/>
      <c r="AH40" s="4"/>
    </row>
    <row r="41" spans="17:34">
      <c r="Q41" s="5" t="s">
        <v>19</v>
      </c>
      <c r="R41">
        <f t="shared" ref="R41:V41" si="19">R37-R32</f>
        <v>4.13</v>
      </c>
      <c r="S41">
        <f t="shared" si="19"/>
        <v>4.62</v>
      </c>
      <c r="U41">
        <f t="shared" si="19"/>
        <v>3.48</v>
      </c>
      <c r="V41">
        <f t="shared" si="19"/>
        <v>4.66</v>
      </c>
      <c r="X41">
        <f t="shared" ref="X41:X43" si="20">X37-X32</f>
        <v>4.25</v>
      </c>
      <c r="Y41">
        <f t="shared" ref="Y41:Y43" si="21">Y37-Y32</f>
        <v>4.76</v>
      </c>
      <c r="AA41">
        <f t="shared" ref="AA41:AA43" si="22">AA37-AA32</f>
        <v>4.56</v>
      </c>
      <c r="AB41">
        <f t="shared" ref="AB41:AB43" si="23">AB37-AB32</f>
        <v>5.88</v>
      </c>
      <c r="AD41">
        <f t="shared" ref="AD41:AD43" si="24">AD37-AD32</f>
        <v>5.29</v>
      </c>
      <c r="AE41">
        <f t="shared" ref="AE41:AE43" si="25">AE37-AE32</f>
        <v>5.85</v>
      </c>
      <c r="AG41">
        <f t="shared" ref="AG41:AG43" si="26">AG37-AG32</f>
        <v>1.48</v>
      </c>
      <c r="AH41">
        <f t="shared" ref="AH41:AH43" si="27">AH37-AH32</f>
        <v>1.81</v>
      </c>
    </row>
    <row r="42" spans="17:34">
      <c r="Q42" s="5"/>
      <c r="R42">
        <f t="shared" ref="R42:V42" si="28">R38-R33</f>
        <v>3.95</v>
      </c>
      <c r="S42">
        <f t="shared" si="28"/>
        <v>4.99</v>
      </c>
      <c r="U42">
        <f t="shared" si="28"/>
        <v>3.44</v>
      </c>
      <c r="V42">
        <f t="shared" si="28"/>
        <v>4.63</v>
      </c>
      <c r="X42">
        <f t="shared" si="20"/>
        <v>4.11</v>
      </c>
      <c r="Y42">
        <f t="shared" si="21"/>
        <v>5.34</v>
      </c>
      <c r="AA42">
        <f t="shared" si="22"/>
        <v>4.13</v>
      </c>
      <c r="AB42">
        <f t="shared" si="23"/>
        <v>6.13</v>
      </c>
      <c r="AD42">
        <f t="shared" si="24"/>
        <v>5.11</v>
      </c>
      <c r="AE42">
        <f t="shared" si="25"/>
        <v>6.4</v>
      </c>
      <c r="AG42">
        <f t="shared" si="26"/>
        <v>1.41</v>
      </c>
      <c r="AH42">
        <f t="shared" si="27"/>
        <v>2.27</v>
      </c>
    </row>
    <row r="43" spans="17:34">
      <c r="Q43" s="5"/>
      <c r="R43">
        <f t="shared" ref="R43:V43" si="29">R39-R34</f>
        <v>4.29</v>
      </c>
      <c r="S43">
        <f t="shared" si="29"/>
        <v>4.48</v>
      </c>
      <c r="U43">
        <f t="shared" si="29"/>
        <v>3.68</v>
      </c>
      <c r="V43">
        <f t="shared" si="29"/>
        <v>4.42</v>
      </c>
      <c r="X43">
        <f t="shared" si="20"/>
        <v>4.03</v>
      </c>
      <c r="Y43">
        <f t="shared" si="21"/>
        <v>4.49</v>
      </c>
      <c r="AA43">
        <f t="shared" si="22"/>
        <v>4.43</v>
      </c>
      <c r="AB43">
        <f t="shared" si="23"/>
        <v>5.46</v>
      </c>
      <c r="AD43">
        <f t="shared" si="24"/>
        <v>5.38</v>
      </c>
      <c r="AE43">
        <f t="shared" si="25"/>
        <v>5.79</v>
      </c>
      <c r="AG43">
        <f t="shared" si="26"/>
        <v>1.57</v>
      </c>
      <c r="AH43">
        <f t="shared" si="27"/>
        <v>1.58</v>
      </c>
    </row>
    <row r="44" spans="17:34">
      <c r="Q44" s="5"/>
    </row>
    <row r="45" spans="17:34">
      <c r="Q45" t="s">
        <v>17</v>
      </c>
      <c r="R45">
        <f>AVERAGE(R41:R44)</f>
        <v>4.12333333333333</v>
      </c>
      <c r="U45">
        <f>AVERAGE(U41:U44)</f>
        <v>3.53333333333333</v>
      </c>
      <c r="X45">
        <f>AVERAGE(X41:X44)</f>
        <v>4.13</v>
      </c>
      <c r="AA45">
        <f>AVERAGE(AA41:AA44)</f>
        <v>4.37333333333333</v>
      </c>
      <c r="AD45">
        <f>AVERAGE(AD41:AD44)</f>
        <v>5.26</v>
      </c>
      <c r="AG45">
        <f>AVERAGE(AG41:AG44)</f>
        <v>1.48666666666667</v>
      </c>
    </row>
    <row r="46" spans="17:34">
      <c r="Q46" s="6" t="s">
        <v>20</v>
      </c>
      <c r="R46">
        <f>R41-R45</f>
        <v>0.00666666666666682</v>
      </c>
      <c r="S46">
        <f>S41-R45</f>
        <v>0.496666666666669</v>
      </c>
      <c r="U46">
        <f>U41-U45</f>
        <v>-0.0533333333333323</v>
      </c>
      <c r="V46">
        <f>V41-U45</f>
        <v>1.12666666666667</v>
      </c>
      <c r="X46">
        <f>X41-X45</f>
        <v>0.12</v>
      </c>
      <c r="Y46">
        <f>Y41-X45</f>
        <v>0.630000000000002</v>
      </c>
      <c r="AA46">
        <f>AA41-AA45</f>
        <v>0.186666666666667</v>
      </c>
      <c r="AB46">
        <f>AB41-AA45</f>
        <v>1.50666666666667</v>
      </c>
      <c r="AD46">
        <f>AD41-AD45</f>
        <v>0.0300000000000002</v>
      </c>
      <c r="AE46">
        <f>AE41-AD45</f>
        <v>0.590000000000003</v>
      </c>
      <c r="AG46">
        <f>AG41-AG45</f>
        <v>-0.0066666666666666</v>
      </c>
      <c r="AH46">
        <f>AH41-AG45</f>
        <v>0.323333333333332</v>
      </c>
    </row>
    <row r="47" spans="17:34">
      <c r="Q47" s="2"/>
      <c r="R47">
        <f>R42-R45</f>
        <v>-0.173333333333333</v>
      </c>
      <c r="S47">
        <f>S42-R45</f>
        <v>0.866666666666666</v>
      </c>
      <c r="U47">
        <f>U42-U45</f>
        <v>-0.093333333333335</v>
      </c>
      <c r="V47">
        <f>V42-U45</f>
        <v>1.09666666666667</v>
      </c>
      <c r="X47">
        <f>X42-X45</f>
        <v>-0.0200000000000005</v>
      </c>
      <c r="Y47">
        <f>Y42-X45</f>
        <v>1.21</v>
      </c>
      <c r="AA47">
        <f>AA42-AA45</f>
        <v>-0.243333333333333</v>
      </c>
      <c r="AB47">
        <f>AB42-AA45</f>
        <v>1.75666666666667</v>
      </c>
      <c r="AD47">
        <f>AD42-AD45</f>
        <v>-0.149999999999999</v>
      </c>
      <c r="AE47">
        <f>AE42-AD45</f>
        <v>1.14</v>
      </c>
      <c r="AG47">
        <f>AG42-AG45</f>
        <v>-0.0766666666666669</v>
      </c>
      <c r="AH47">
        <f>AH42-AG45</f>
        <v>0.783333333333333</v>
      </c>
    </row>
    <row r="48" spans="17:34">
      <c r="Q48" s="2"/>
      <c r="R48">
        <f>R43-R45</f>
        <v>0.166666666666667</v>
      </c>
      <c r="S48">
        <f>S43-R45</f>
        <v>0.356666666666668</v>
      </c>
      <c r="U48">
        <f>U43-U45</f>
        <v>0.146666666666667</v>
      </c>
      <c r="V48">
        <f>V43-U45</f>
        <v>0.886666666666665</v>
      </c>
      <c r="X48">
        <f>X43-X45</f>
        <v>-0.0999999999999988</v>
      </c>
      <c r="Y48">
        <f>Y43-X45</f>
        <v>0.359999999999999</v>
      </c>
      <c r="AA48">
        <f>AA43-AA45</f>
        <v>0.0566666666666675</v>
      </c>
      <c r="AB48">
        <f>AB43-AA45</f>
        <v>1.08666666666667</v>
      </c>
      <c r="AD48">
        <f>AD43-AD45</f>
        <v>0.12</v>
      </c>
      <c r="AE48">
        <f>AE43-AD45</f>
        <v>0.53</v>
      </c>
      <c r="AG48">
        <f>AG43-AG45</f>
        <v>0.0833333333333333</v>
      </c>
      <c r="AH48">
        <f>AH43-AG45</f>
        <v>0.0933333333333313</v>
      </c>
    </row>
    <row r="49" spans="17:34">
      <c r="Q49" s="2"/>
    </row>
    <row r="50" spans="17:34">
      <c r="Q50" s="6" t="s">
        <v>21</v>
      </c>
      <c r="R50">
        <f t="shared" ref="R50:R52" si="30">-R46</f>
        <v>-0.00666666666666682</v>
      </c>
      <c r="S50">
        <f t="shared" ref="S50:S52" si="31">-S46</f>
        <v>-0.496666666666669</v>
      </c>
      <c r="U50">
        <f t="shared" ref="U50:U52" si="32">-U46</f>
        <v>0.0533333333333323</v>
      </c>
      <c r="V50">
        <f t="shared" ref="V50:V52" si="33">-V46</f>
        <v>-1.12666666666667</v>
      </c>
      <c r="X50">
        <f t="shared" ref="X50:X52" si="34">-X46</f>
        <v>-0.12</v>
      </c>
      <c r="Y50">
        <f t="shared" ref="Y50:Y52" si="35">-Y46</f>
        <v>-0.630000000000002</v>
      </c>
      <c r="AA50">
        <f t="shared" ref="AA50:AA52" si="36">-AA46</f>
        <v>-0.186666666666667</v>
      </c>
      <c r="AB50">
        <f t="shared" ref="AB50:AB52" si="37">-AB46</f>
        <v>-1.50666666666667</v>
      </c>
      <c r="AD50">
        <f t="shared" ref="AD50:AD52" si="38">-AD46</f>
        <v>-0.0300000000000002</v>
      </c>
      <c r="AE50">
        <f t="shared" ref="AE50:AE52" si="39">-AE46</f>
        <v>-0.590000000000003</v>
      </c>
      <c r="AG50">
        <f t="shared" ref="AG50:AG52" si="40">-AG46</f>
        <v>0.0066666666666666</v>
      </c>
      <c r="AH50">
        <f t="shared" ref="AH50:AH52" si="41">-AH46</f>
        <v>-0.323333333333332</v>
      </c>
    </row>
    <row r="51" spans="17:34">
      <c r="Q51" s="2"/>
      <c r="R51">
        <f t="shared" si="30"/>
        <v>0.173333333333333</v>
      </c>
      <c r="S51">
        <f t="shared" si="31"/>
        <v>-0.866666666666666</v>
      </c>
      <c r="U51">
        <f t="shared" si="32"/>
        <v>0.093333333333335</v>
      </c>
      <c r="V51">
        <f t="shared" si="33"/>
        <v>-1.09666666666667</v>
      </c>
      <c r="X51">
        <f t="shared" si="34"/>
        <v>0.0200000000000005</v>
      </c>
      <c r="Y51">
        <f t="shared" si="35"/>
        <v>-1.21</v>
      </c>
      <c r="AA51">
        <f t="shared" si="36"/>
        <v>0.243333333333333</v>
      </c>
      <c r="AB51">
        <f t="shared" si="37"/>
        <v>-1.75666666666667</v>
      </c>
      <c r="AD51">
        <f t="shared" si="38"/>
        <v>0.149999999999999</v>
      </c>
      <c r="AE51">
        <f t="shared" si="39"/>
        <v>-1.14</v>
      </c>
      <c r="AG51">
        <f t="shared" si="40"/>
        <v>0.0766666666666669</v>
      </c>
      <c r="AH51">
        <f t="shared" si="41"/>
        <v>-0.783333333333333</v>
      </c>
    </row>
    <row r="52" spans="17:34">
      <c r="Q52" s="2"/>
      <c r="R52">
        <f t="shared" si="30"/>
        <v>-0.166666666666667</v>
      </c>
      <c r="S52">
        <f t="shared" si="31"/>
        <v>-0.356666666666668</v>
      </c>
      <c r="U52">
        <f t="shared" si="32"/>
        <v>-0.146666666666667</v>
      </c>
      <c r="V52">
        <f t="shared" si="33"/>
        <v>-0.886666666666665</v>
      </c>
      <c r="X52">
        <f t="shared" si="34"/>
        <v>0.0999999999999988</v>
      </c>
      <c r="Y52">
        <f t="shared" si="35"/>
        <v>-0.359999999999999</v>
      </c>
      <c r="AA52">
        <f t="shared" si="36"/>
        <v>-0.0566666666666675</v>
      </c>
      <c r="AB52">
        <f t="shared" si="37"/>
        <v>-1.08666666666667</v>
      </c>
      <c r="AD52">
        <f t="shared" si="38"/>
        <v>-0.12</v>
      </c>
      <c r="AE52">
        <f t="shared" si="39"/>
        <v>-0.53</v>
      </c>
      <c r="AG52">
        <f t="shared" si="40"/>
        <v>-0.0833333333333333</v>
      </c>
      <c r="AH52">
        <f t="shared" si="41"/>
        <v>-0.0933333333333313</v>
      </c>
    </row>
    <row r="53" spans="17:34">
      <c r="Q53" s="2"/>
    </row>
    <row r="54" spans="17:34">
      <c r="Q54" s="2" t="s">
        <v>22</v>
      </c>
      <c r="R54">
        <f t="shared" ref="R54:R56" si="42">POWER(2,R50)</f>
        <v>0.995389679103229</v>
      </c>
      <c r="S54">
        <f t="shared" ref="S54:S56" si="43">POWER(2,S50)</f>
        <v>0.708742433611129</v>
      </c>
      <c r="U54">
        <f t="shared" ref="U54:U56" si="44">POWER(2,U50)</f>
        <v>1.03765965915975</v>
      </c>
      <c r="V54">
        <f t="shared" ref="V54:V56" si="45">POWER(2,V50)</f>
        <v>0.457972645135124</v>
      </c>
      <c r="X54">
        <f t="shared" ref="X54:X56" si="46">POWER(2,X50)</f>
        <v>0.920187650624875</v>
      </c>
      <c r="Y54">
        <f t="shared" ref="Y54:Y56" si="47">POWER(2,Y50)</f>
        <v>0.646176415318745</v>
      </c>
      <c r="AA54">
        <f t="shared" ref="AA54:AA56" si="48">POWER(2,AA50)</f>
        <v>0.878633452221214</v>
      </c>
      <c r="AB54">
        <f t="shared" ref="AB54:AB56" si="49">POWER(2,AB50)</f>
        <v>0.351923396008497</v>
      </c>
      <c r="AD54">
        <f t="shared" ref="AD54:AD56" si="50">POWER(2,AD50)</f>
        <v>0.979420297586927</v>
      </c>
      <c r="AE54">
        <f t="shared" ref="AE54:AE56" si="51">POWER(2,AE50)</f>
        <v>0.664342907048255</v>
      </c>
      <c r="AG54">
        <f t="shared" ref="AG54:AG56" si="52">POWER(2,AG50)</f>
        <v>1.00463167440205</v>
      </c>
      <c r="AH54">
        <f t="shared" ref="AH54:AH56" si="53">POWER(2,AH50)</f>
        <v>0.799221149722627</v>
      </c>
    </row>
    <row r="55" spans="17:34">
      <c r="Q55" s="2"/>
      <c r="R55">
        <f t="shared" si="42"/>
        <v>1.1276609270458</v>
      </c>
      <c r="S55">
        <f t="shared" si="43"/>
        <v>0.548412489847313</v>
      </c>
      <c r="U55">
        <f t="shared" si="44"/>
        <v>1.06683224294536</v>
      </c>
      <c r="V55">
        <f t="shared" si="45"/>
        <v>0.46759562392516</v>
      </c>
      <c r="X55">
        <f t="shared" si="46"/>
        <v>1.01395947979003</v>
      </c>
      <c r="Y55">
        <f t="shared" si="47"/>
        <v>0.432268615653933</v>
      </c>
      <c r="AA55">
        <f t="shared" si="48"/>
        <v>1.18372448858984</v>
      </c>
      <c r="AB55">
        <f t="shared" si="49"/>
        <v>0.295931122147459</v>
      </c>
      <c r="AD55">
        <f t="shared" si="50"/>
        <v>1.10956947206784</v>
      </c>
      <c r="AE55">
        <f t="shared" si="51"/>
        <v>0.453759577658581</v>
      </c>
      <c r="AG55">
        <f t="shared" si="52"/>
        <v>1.05457862951601</v>
      </c>
      <c r="AH55">
        <f t="shared" si="53"/>
        <v>0.58102279347892</v>
      </c>
    </row>
    <row r="56" spans="17:34">
      <c r="Q56" s="2"/>
      <c r="R56">
        <f t="shared" si="42"/>
        <v>0.890898718140339</v>
      </c>
      <c r="S56">
        <f t="shared" si="43"/>
        <v>0.780966913434942</v>
      </c>
      <c r="U56">
        <f t="shared" si="44"/>
        <v>0.903335200791182</v>
      </c>
      <c r="V56">
        <f t="shared" si="45"/>
        <v>0.540862333040053</v>
      </c>
      <c r="X56">
        <f t="shared" si="46"/>
        <v>1.07177346253629</v>
      </c>
      <c r="Y56">
        <f t="shared" si="47"/>
        <v>0.779164579660501</v>
      </c>
      <c r="AA56">
        <f t="shared" si="48"/>
        <v>0.961483052482653</v>
      </c>
      <c r="AB56">
        <f t="shared" si="49"/>
        <v>0.470848008693673</v>
      </c>
      <c r="AD56">
        <f t="shared" si="50"/>
        <v>0.920187650624875</v>
      </c>
      <c r="AE56">
        <f t="shared" si="51"/>
        <v>0.692554734055462</v>
      </c>
      <c r="AG56">
        <f t="shared" si="52"/>
        <v>0.943874312681694</v>
      </c>
      <c r="AH56">
        <f t="shared" si="53"/>
        <v>0.937354496559981</v>
      </c>
    </row>
    <row r="57" spans="17:34">
      <c r="Q57" s="2"/>
    </row>
    <row r="60" spans="17:34">
      <c r="U60">
        <v>1.03765965915975</v>
      </c>
      <c r="V60">
        <v>1.06683224294536</v>
      </c>
      <c r="W60">
        <v>0.903335200791182</v>
      </c>
      <c r="X60">
        <v>0.457972645135124</v>
      </c>
      <c r="Y60">
        <v>0.46759562392516</v>
      </c>
      <c r="Z60">
        <v>0.540862333040053</v>
      </c>
    </row>
    <row r="61" spans="17:34">
      <c r="S61" s="1"/>
      <c r="T61" s="1"/>
      <c r="U61" s="7">
        <v>0.920187650624875</v>
      </c>
      <c r="V61" s="7">
        <v>1.01395947979003</v>
      </c>
      <c r="W61" s="7">
        <v>1.07177346253629</v>
      </c>
      <c r="X61" s="7">
        <v>0.646176415318745</v>
      </c>
      <c r="Y61">
        <v>0.432268615653933</v>
      </c>
      <c r="Z61">
        <v>0.779164579660501</v>
      </c>
    </row>
    <row r="62" spans="17:34">
      <c r="U62">
        <v>0.878633452221214</v>
      </c>
      <c r="V62">
        <v>1.18372448858984</v>
      </c>
      <c r="W62">
        <v>0.961483052482653</v>
      </c>
      <c r="X62">
        <v>0.351923396008497</v>
      </c>
      <c r="Y62">
        <v>0.295931122147459</v>
      </c>
      <c r="Z62">
        <v>0.470848008693673</v>
      </c>
    </row>
    <row r="63" spans="17:34">
      <c r="U63">
        <v>0.979420297586927</v>
      </c>
      <c r="V63">
        <v>1.10956947206784</v>
      </c>
      <c r="W63">
        <v>0.920187650624875</v>
      </c>
      <c r="X63">
        <v>0.664342907048255</v>
      </c>
      <c r="Y63">
        <v>0.453759577658581</v>
      </c>
      <c r="Z63">
        <v>0.692554734055462</v>
      </c>
    </row>
    <row r="64" spans="17:34">
      <c r="U64">
        <v>1.00463167440205</v>
      </c>
      <c r="V64">
        <v>1.05457862951601</v>
      </c>
      <c r="W64">
        <v>0.943874312681694</v>
      </c>
      <c r="X64">
        <v>0.799221149722627</v>
      </c>
      <c r="Y64">
        <v>0.58102279347892</v>
      </c>
      <c r="Z64">
        <v>0.937354496559981</v>
      </c>
    </row>
  </sheetData>
  <mergeCells count="24">
    <mergeCell ref="R6:S6"/>
    <mergeCell ref="U6:V6"/>
    <mergeCell ref="X6:Y6"/>
    <mergeCell ref="AA6:AB6"/>
    <mergeCell ref="R36:S36"/>
    <mergeCell ref="U36:V36"/>
    <mergeCell ref="X36:Y36"/>
    <mergeCell ref="AA36:AB36"/>
    <mergeCell ref="AD36:AE36"/>
    <mergeCell ref="AG36:AH36"/>
    <mergeCell ref="A3:A5"/>
    <mergeCell ref="A6:A8"/>
    <mergeCell ref="Q2:Q5"/>
    <mergeCell ref="Q7:Q10"/>
    <mergeCell ref="Q11:Q14"/>
    <mergeCell ref="Q16:Q19"/>
    <mergeCell ref="Q20:Q23"/>
    <mergeCell ref="Q24:Q27"/>
    <mergeCell ref="Q32:Q35"/>
    <mergeCell ref="Q37:Q40"/>
    <mergeCell ref="Q41:Q44"/>
    <mergeCell ref="Q46:Q49"/>
    <mergeCell ref="Q50:Q53"/>
    <mergeCell ref="Q54:Q5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4.21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huangqixiang</dc:creator>
  <cp:lastModifiedBy>艾伦岩克</cp:lastModifiedBy>
  <dcterms:created xsi:type="dcterms:W3CDTF">2026-03-07T05:07:00Z</dcterms:created>
  <dcterms:modified xsi:type="dcterms:W3CDTF">2026-05-08T04:37:26Z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0D2C57FDB0EF401C921D3A93ECB7E6C9_13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